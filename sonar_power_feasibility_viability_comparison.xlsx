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6188a9822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666de372bfc4316"/>
    <x:sheet xmlns:r="http://schemas.openxmlformats.org/officeDocument/2006/relationships" name="Component Power Budget" sheetId="2" r:id="Re2023a44e1e34ac6"/>
    <x:sheet xmlns:r="http://schemas.openxmlformats.org/officeDocument/2006/relationships" name="Operating Scenarios" sheetId="3" r:id="R9c6e8d5e56304b2e"/>
    <x:sheet xmlns:r="http://schemas.openxmlformats.org/officeDocument/2006/relationships" name="Existing Comparison" sheetId="4" r:id="R3b9f49a33a57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@"/>
    <x:numFmt numFmtId="202" formatCode="0.0000"/>
    <x:numFmt numFmtId="203" formatCode="0.00%"/>
    <x:numFmt numFmtId="204" formatCode="0.00"/>
    <x:numFmt numFmtId="205" formatCode="0.0"/>
    <x:numFmt numFmtId="206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92400E"/>
      <x:name val="Carlito"/>
    </x:font>
    <x:font>
      <x:b/>
      <x:sz val="12"/>
      <x:color rgb="FFFFFFFF"/>
      <x:name val="Carlito"/>
    </x:font>
    <x:font>
      <x:b/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9a3228a7f4ee1" /><Relationship Type="http://schemas.openxmlformats.org/officeDocument/2006/relationships/theme" Target="/xl/theme/theme1.xml" Id="R3cf3c198e5104614" /><Relationship Type="http://schemas.openxmlformats.org/officeDocument/2006/relationships/sharedStrings" Target="/xl/sharedStrings.xml" Id="Rea5e3a779b21464e" /><Relationship Type="http://schemas.openxmlformats.org/officeDocument/2006/relationships/worksheet" Target="/xl/worksheets/sheet1.xml" Id="R9666de372bfc4316" /><Relationship Type="http://schemas.openxmlformats.org/officeDocument/2006/relationships/worksheet" Target="/xl/worksheets/sheet2.xml" Id="Re2023a44e1e34ac6" /><Relationship Type="http://schemas.openxmlformats.org/officeDocument/2006/relationships/worksheet" Target="/xl/worksheets/sheet3.xml" Id="R9c6e8d5e56304b2e" /><Relationship Type="http://schemas.openxmlformats.org/officeDocument/2006/relationships/worksheet" Target="/xl/worksheets/sheet4.xml" Id="R3b9f49a33a5744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d207017c0746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Power Comparison (W)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'Existing Comparison'!$A$6:$A$13</c:f>
              <c:strCache>
                <c:ptCount val="0"/>
              </c:strCache>
            </c:strRef>
          </c:cat>
          <c:val>
            <c:numRef>
              <c:f>'Existing Comparison'!$B$6:$B$13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'Existing Comparison'!$A$6:$A$13</c:f>
              <c:strCache>
                <c:ptCount val="0"/>
              </c:strCache>
            </c:strRef>
          </c:cat>
          <c:val>
            <c:numRef>
              <c:f>'Existing Comparison'!$C$6:$C$13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d207017c07463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ce7b85c4c84438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8" hidden="0" customWidth="1"/>
    <x:col min="5" max="5" width="34" hidden="0" customWidth="1"/>
    <x:col min="6" max="6" width="20" hidden="0" customWidth="1"/>
    <x:col min="7" max="7" width="4" hidden="0" customWidth="1"/>
    <x:col min="8" max="8" width="4" hidden="0" customWidth="1"/>
  </x:cols>
  <x:sheetData>
    <x:row r="1">
      <x:c r="A1" s="5" t="str">
        <x:v>FEASIBILITY &amp; VIABILITY — POWER COMPARISON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Working comparison for the proposed FPGA adaptive sonar transmitter. Engineering estimates are separated from measured/manufacturer data.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Key Project Numbers</x:v>
      </x:c>
      <x:c r="B4" s="19"/>
      <x:c r="C4" s="19"/>
      <x:c r="D4" s="19"/>
      <x:c r="E4" s="19"/>
      <x:c r="F4" s="19"/>
      <x:c r="G4" s="19"/>
      <x:c r="H4" s="19"/>
    </x:row>
    <x:row r="5">
      <x:c r="A5" s="28" t="str">
        <x:v>Metric</x:v>
      </x:c>
      <x:c r="B5" s="28" t="str">
        <x:v>Value</x:v>
      </x:c>
      <x:c r="C5" s="28" t="str">
        <x:v>Unit</x:v>
      </x:c>
      <x:c r="D5" s="28" t="str">
        <x:v>Type</x:v>
      </x:c>
      <x:c r="E5" s="28" t="str">
        <x:v>Use in proposal</x:v>
      </x:c>
      <x:c r="F5" s="28" t="str">
        <x:v>Status</x:v>
      </x:c>
      <x:c r="G5" t="str"/>
      <x:c r="H5" t="str"/>
    </x:row>
    <x:row r="6">
      <x:c r="A6" s="34" t="str">
        <x:v>Current electronics power target</x:v>
      </x:c>
      <x:c r="B6" s="47" t="n">
        <x:v>1.5</x:v>
      </x:c>
      <x:c r="C6" s="34" t="str">
        <x:v>W average</x:v>
      </x:c>
      <x:c r="D6" s="34" t="str">
        <x:v>Design target</x:v>
      </x:c>
      <x:c r="E6" s="34" t="str">
        <x:v>FPGA + DAC + analog-conditioning budget</x:v>
      </x:c>
      <x:c r="F6" s="34" t="str">
        <x:v>Not yet measured</x:v>
      </x:c>
      <x:c r="G6" t="str"/>
      <x:c r="H6" t="str"/>
    </x:row>
    <x:row r="7">
      <x:c r="A7" s="34" t="str">
        <x:v>Future transducer-drive target</x:v>
      </x:c>
      <x:c r="B7" s="47" t="n">
        <x:v>10</x:v>
      </x:c>
      <x:c r="C7" s="34" t="str">
        <x:v>W active</x:v>
      </x:c>
      <x:c r="D7" s="34" t="str">
        <x:v>Design target</x:v>
      </x:c>
      <x:c r="E7" s="34" t="str">
        <x:v>Electrical power delivered to transducer during TX pulse</x:v>
      </x:c>
      <x:c r="F7" s="34" t="str">
        <x:v>Not yet implemented</x:v>
      </x:c>
      <x:c r="G7" t="str"/>
      <x:c r="H7" t="str"/>
    </x:row>
    <x:row r="8">
      <x:c r="A8" s="34" t="str">
        <x:v>Example pulsed TX average</x:v>
      </x:c>
      <x:c r="B8" s="47" t="n">
        <x:f>10*0.005/0.1</x:f>
        <x:v>0.5</x:v>
      </x:c>
      <x:c r="C8" s="34" t="str">
        <x:v>W average</x:v>
      </x:c>
      <x:c r="D8" s="34" t="str">
        <x:v>Calculated</x:v>
      </x:c>
      <x:c r="E8" s="34" t="str">
        <x:v>10 W × 5 ms / 100 ms</x:v>
      </x:c>
      <x:c r="F8" s="34" t="str">
        <x:v>Calculated</x:v>
      </x:c>
      <x:c r="G8" t="str"/>
      <x:c r="H8" t="str"/>
    </x:row>
    <x:row r="9">
      <x:c r="A9" s="34" t="str">
        <x:v>Example total system average</x:v>
      </x:c>
      <x:c r="B9" s="47" t="n">
        <x:f>1.5+B8</x:f>
        <x:v>2</x:v>
      </x:c>
      <x:c r="C9" s="34" t="str">
        <x:v>W average</x:v>
      </x:c>
      <x:c r="D9" s="34" t="str">
        <x:v>Calculated</x:v>
      </x:c>
      <x:c r="E9" s="34" t="str">
        <x:v>1.5 W electronics + pulsed TX</x:v>
      </x:c>
      <x:c r="F9" s="34" t="str">
        <x:v>Calculated</x:v>
      </x:c>
      <x:c r="G9" t="str"/>
      <x:c r="H9" t="str"/>
    </x:row>
    <x:row r="10">
      <x:c r="A10" s="34" t="str">
        <x:v>Example total energy / 24 h</x:v>
      </x:c>
      <x:c r="B10" s="47" t="n">
        <x:f>B9*24</x:f>
        <x:v>48</x:v>
      </x:c>
      <x:c r="C10" s="34" t="str">
        <x:v>Wh</x:v>
      </x:c>
      <x:c r="D10" s="34" t="str">
        <x:v>Calculated</x:v>
      </x:c>
      <x:c r="E10" s="34" t="str">
        <x:v>At 5 ms / 100 ms pulsed operation</x:v>
      </x:c>
      <x:c r="F10" s="34" t="str">
        <x:v>Calculated</x:v>
      </x:c>
      <x:c r="G10" t="str"/>
      <x:c r="H10" t="str"/>
    </x:row>
    <x:row r="11">
      <x:c r="A11" s="34" t="str">
        <x:v>Preliminary electronics subtotal (component budget)</x:v>
      </x:c>
      <x:c r="B11" s="47" t="n">
        <x:f>'Component Power Budget'!B20</x:f>
        <x:v>1.277072</x:v>
      </x:c>
      <x:c r="C11" s="34" t="str">
        <x:v>W</x:v>
      </x:c>
      <x:c r="D11" s="34" t="str">
        <x:v>Estimated</x:v>
      </x:c>
      <x:c r="E11" s="34" t="str">
        <x:v>Before final FPGA power verification; includes component/rail allowances</x:v>
      </x:c>
      <x:c r="F11" s="34" t="str">
        <x:v>Needs validation</x:v>
      </x:c>
      <x:c r="G11" t="str"/>
      <x:c r="H11" t="str"/>
    </x:row>
    <x:row r="13">
      <x:c r="A13" s="19" t="str">
        <x:v>How to present the claim</x:v>
      </x:c>
      <x:c r="B13" s="19"/>
      <x:c r="C13" s="19"/>
      <x:c r="D13" s="19"/>
      <x:c r="E13" s="19"/>
      <x:c r="F13" s="19"/>
      <x:c r="G13" s="19"/>
      <x:c r="H13" s="19"/>
    </x:row>
    <x:row r="14">
      <x:c r="A14" s="12" t="str">
        <x:v>Recommended wording: “The current transmitter electronics are targeted below 1.5 W average. A future 10 W transducer-drive stage would add 10 W only during an active transmit pulse. For a 5 ms pulse every 100 ms, the transmit-stage average is 0.5 W and the provisional complete module average is about 2.0 W. Final values will be validated using Quartus power analysis and physical current measurements.”</x:v>
      </x:c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</x:sheetData>
  <x:mergeCells>
    <x:mergeCell ref="A1:H1"/>
    <x:mergeCell ref="A2:H2"/>
    <x:mergeCell ref="A4:H4"/>
    <x:mergeCell ref="A13:H13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19" hidden="0" customWidth="1"/>
    <x:col min="5" max="5" width="20" hidden="0" customWidth="1"/>
    <x:col min="6" max="6" width="22" hidden="0" customWidth="1"/>
    <x:col min="7" max="7" width="28" hidden="0" customWidth="1"/>
    <x:col min="8" max="8" width="42" hidden="0" customWidth="1"/>
  </x:cols>
  <x:sheetData>
    <x:row r="1">
      <x:c r="A1" s="5" t="str">
        <x:v>OUR SYSTEM — COMPONENT POWER BUDGET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Datasheet-backed values and engineering allowances. FPGA power must be finalized with Quartus Power Analyzer + bench measurement.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Preliminary electronics budget</x:v>
      </x:c>
      <x:c r="B4" s="19"/>
      <x:c r="C4" s="19"/>
      <x:c r="D4" s="19"/>
      <x:c r="E4" s="19"/>
      <x:c r="F4" s="19"/>
      <x:c r="G4" s="19"/>
      <x:c r="H4" s="19"/>
    </x:row>
    <x:row r="5">
      <x:c r="A5" s="28" t="str">
        <x:v>Component / block</x:v>
      </x:c>
      <x:c r="B5" s="28" t="str">
        <x:v>Basis</x:v>
      </x:c>
      <x:c r="C5" s="28" t="str">
        <x:v>Voltage</x:v>
      </x:c>
      <x:c r="D5" s="28" t="str">
        <x:v>Current / allowance</x:v>
      </x:c>
      <x:c r="E5" s="28" t="str">
        <x:v>Estimated power (W)</x:v>
      </x:c>
      <x:c r="F5" s="28" t="str">
        <x:v>Evidence type</x:v>
      </x:c>
      <x:c r="G5" s="28" t="str">
        <x:v>Final validation</x:v>
      </x:c>
      <x:c r="H5" s="28" t="str">
        <x:v>Source / note</x:v>
      </x:c>
    </x:row>
    <x:row r="6">
      <x:c r="A6" s="34" t="str">
        <x:v>AD3541R — AVDD</x:v>
      </x:c>
      <x:c r="B6" s="39" t="str">
        <x:v>5 V rail, max supply current</x:v>
      </x:c>
      <x:c r="C6" s="41" t="n">
        <x:v>5</x:v>
      </x:c>
      <x:c r="D6" s="41" t="n">
        <x:v>0.015</x:v>
      </x:c>
      <x:c r="E6" s="41" t="n">
        <x:f>C6*D6</x:f>
        <x:v>0.075</x:v>
      </x:c>
      <x:c r="F6" s="34" t="str">
        <x:v>Datasheet</x:v>
      </x:c>
      <x:c r="G6" s="34" t="str">
        <x:v>Measure rail current</x:v>
      </x:c>
      <x:c r="H6" s="34" t="str">
        <x:v>Analog Devices AD3541R</x:v>
      </x:c>
    </x:row>
    <x:row r="7">
      <x:c r="A7" s="34" t="str">
        <x:v>AD3541R — DVDD</x:v>
      </x:c>
      <x:c r="B7" s="39" t="str">
        <x:v>1.8 V digital rail</x:v>
      </x:c>
      <x:c r="C7" s="41" t="n">
        <x:v>1.8</x:v>
      </x:c>
      <x:c r="D7" s="41" t="n">
        <x:v>0.0008</x:v>
      </x:c>
      <x:c r="E7" s="41" t="n">
        <x:f>C7*D7</x:f>
        <x:v>0.00144</x:v>
      </x:c>
      <x:c r="F7" s="34" t="str">
        <x:v>Datasheet</x:v>
      </x:c>
      <x:c r="G7" s="34" t="str">
        <x:v>Measure rail current</x:v>
      </x:c>
      <x:c r="H7" s="34" t="str">
        <x:v>Analog Devices AD3541R</x:v>
      </x:c>
    </x:row>
    <x:row r="8">
      <x:c r="A8" s="34" t="str">
        <x:v>AD3541R — PVDD</x:v>
      </x:c>
      <x:c r="B8" s="39" t="str">
        <x:v>Representative 10 V-range supply condition</x:v>
      </x:c>
      <x:c r="C8" s="41" t="n">
        <x:v>10</x:v>
      </x:c>
      <x:c r="D8" s="41" t="n">
        <x:v>0.0045</x:v>
      </x:c>
      <x:c r="E8" s="41" t="n">
        <x:f>C8*D8</x:f>
        <x:v>0.045</x:v>
      </x:c>
      <x:c r="F8" s="34" t="str">
        <x:v>Datasheet condition</x:v>
      </x:c>
      <x:c r="G8" s="34" t="str">
        <x:v>Verify actual configured range</x:v>
      </x:c>
      <x:c r="H8" s="34" t="str">
        <x:v>Analog Devices AD3541R</x:v>
      </x:c>
    </x:row>
    <x:row r="9">
      <x:c r="A9" s="34" t="str">
        <x:v>AD3541R — PVSS</x:v>
      </x:c>
      <x:c r="B9" s="39" t="str">
        <x:v>Representative ±5 V condition</x:v>
      </x:c>
      <x:c r="C9" s="41" t="n">
        <x:v>5</x:v>
      </x:c>
      <x:c r="D9" s="41" t="n">
        <x:v>0.0038</x:v>
      </x:c>
      <x:c r="E9" s="41" t="n">
        <x:f>C9*D9</x:f>
        <x:v>0.019</x:v>
      </x:c>
      <x:c r="F9" s="34" t="str">
        <x:v>Datasheet condition</x:v>
      </x:c>
      <x:c r="G9" s="34" t="str">
        <x:v>Verify actual configured range</x:v>
      </x:c>
      <x:c r="H9" s="34" t="str">
        <x:v>Analog Devices AD3541R</x:v>
      </x:c>
    </x:row>
    <x:row r="10">
      <x:c r="A10" s="34" t="str">
        <x:v>OPA2835 — one dual package</x:v>
      </x:c>
      <x:c r="B10" s="39" t="str">
        <x:v>2 channels × 250 µA/ch</x:v>
      </x:c>
      <x:c r="C10" s="41" t="n">
        <x:v>5</x:v>
      </x:c>
      <x:c r="D10" s="41" t="n">
        <x:v>0.0005</x:v>
      </x:c>
      <x:c r="E10" s="41" t="n">
        <x:f>C10*D10</x:f>
        <x:v>0.0025</x:v>
      </x:c>
      <x:c r="F10" s="34" t="str">
        <x:v>Datasheet typical</x:v>
      </x:c>
      <x:c r="G10" s="34" t="str">
        <x:v>Measure rail current</x:v>
      </x:c>
      <x:c r="H10" s="34" t="str">
        <x:v>TI OPA2835</x:v>
      </x:c>
    </x:row>
    <x:row r="11">
      <x:c r="A11" s="34" t="str">
        <x:v>OPA2684 — dual package</x:v>
      </x:c>
      <x:c r="B11" s="39" t="str">
        <x:v>2 channels × 1.7 mA/ch</x:v>
      </x:c>
      <x:c r="C11" s="41" t="n">
        <x:v>10</x:v>
      </x:c>
      <x:c r="D11" s="41" t="n">
        <x:v>0.0034</x:v>
      </x:c>
      <x:c r="E11" s="41" t="n">
        <x:f>C11*D11</x:f>
        <x:v>0.033999999999999996</x:v>
      </x:c>
      <x:c r="F11" s="34" t="str">
        <x:v>Datasheet typical</x:v>
      </x:c>
      <x:c r="G11" s="34" t="str">
        <x:v>Measure rail current</x:v>
      </x:c>
      <x:c r="H11" s="34" t="str">
        <x:v>TI OPA2684</x:v>
      </x:c>
    </x:row>
    <x:row r="12">
      <x:c r="A12" s="34" t="str">
        <x:v>SN74AXC4T774</x:v>
      </x:c>
      <x:c r="B12" s="39" t="str">
        <x:v>Level translator allowance</x:v>
      </x:c>
      <x:c r="C12" s="41" t="n">
        <x:v>3.3</x:v>
      </x:c>
      <x:c r="D12" s="41" t="n">
        <x:v>0.00004</x:v>
      </x:c>
      <x:c r="E12" s="41" t="n">
        <x:f>C12*D12</x:f>
        <x:v>0.000132</x:v>
      </x:c>
      <x:c r="F12" s="34" t="str">
        <x:v>Datasheet max supply current</x:v>
      </x:c>
      <x:c r="G12" s="34" t="str">
        <x:v>Measure</x:v>
      </x:c>
      <x:c r="H12" s="34" t="str">
        <x:v>TI SN74AXC4T774</x:v>
      </x:c>
    </x:row>
    <x:row r="13">
      <x:c r="A13" s="34" t="str">
        <x:v>Regulators / DC losses</x:v>
      </x:c>
      <x:c r="B13" s="39" t="str">
        <x:v>Design allowance</x:v>
      </x:c>
      <x:c r="C13" s="41"/>
      <x:c r="D13" s="41"/>
      <x:c r="E13" s="41" t="n">
        <x:v>0.1</x:v>
      </x:c>
      <x:c r="F13" s="34" t="str">
        <x:v>Engineering estimate</x:v>
      </x:c>
      <x:c r="G13" s="34" t="str">
        <x:v>Measure input vs. rail outputs</x:v>
      </x:c>
      <x:c r="H13" s="34" t="str">
        <x:v>Conservative allowance</x:v>
      </x:c>
    </x:row>
    <x:row r="14">
      <x:c r="A14" s="34" t="str">
        <x:v>FPGA + clocks + I/O</x:v>
      </x:c>
      <x:c r="B14" s="39" t="str">
        <x:v>MAX 10 design target</x:v>
      </x:c>
      <x:c r="C14" s="41"/>
      <x:c r="D14" s="41"/>
      <x:c r="E14" s="41" t="n">
        <x:v>1</x:v>
      </x:c>
      <x:c r="F14" s="34" t="str">
        <x:v>Design target</x:v>
      </x:c>
      <x:c r="G14" s="34" t="str">
        <x:v>Quartus Power Analyzer + bench</x:v>
      </x:c>
      <x:c r="H14" s="34" t="str">
        <x:v>Not a device maximum</x:v>
      </x:c>
    </x:row>
    <x:row r="16">
      <x:c r="A16" s="19" t="str">
        <x:v>Summary</x:v>
      </x:c>
      <x:c r="B16" s="19"/>
      <x:c r="C16" s="19"/>
      <x:c r="D16" s="19"/>
    </x:row>
    <x:row r="17">
      <x:c r="A17" s="28" t="str">
        <x:v>Category</x:v>
      </x:c>
      <x:c r="B17" s="28" t="str">
        <x:v>Power (W)</x:v>
      </x:c>
    </x:row>
    <x:row r="18">
      <x:c r="A18" s="38" t="str">
        <x:v>AD3541R supply subtotal</x:v>
      </x:c>
      <x:c r="B18" s="36" t="n">
        <x:f>SUM(E6:E9)</x:f>
        <x:v>0.14043999999999998</x:v>
      </x:c>
    </x:row>
    <x:row r="19">
      <x:c r="A19" s="38" t="str">
        <x:v>Analog/logic subtotal (before FPGA)</x:v>
      </x:c>
      <x:c r="B19" s="36" t="n">
        <x:f>SUM(E10:E13)</x:f>
        <x:v>0.136632</x:v>
      </x:c>
    </x:row>
    <x:row r="20">
      <x:c r="A20" s="38" t="str">
        <x:v>Preliminary total electronics target</x:v>
      </x:c>
      <x:c r="B20" s="36" t="n">
        <x:f>B18+B19+E14</x:f>
        <x:v>1.277072</x:v>
      </x:c>
    </x:row>
  </x:sheetData>
  <x:mergeCells>
    <x:mergeCell ref="A1:H1"/>
    <x:mergeCell ref="A2:H2"/>
    <x:mergeCell ref="A4:H4"/>
    <x:mergeCell ref="A16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" hidden="0" customWidth="1"/>
    <x:col min="3" max="3" width="13" hidden="0" customWidth="1"/>
    <x:col min="4" max="4" width="14" hidden="0" customWidth="1"/>
    <x:col min="5" max="5" width="13" hidden="0" customWidth="1"/>
    <x:col min="6" max="6" width="18" hidden="0" customWidth="1"/>
    <x:col min="7" max="7" width="19" hidden="0" customWidth="1"/>
    <x:col min="8" max="8" width="21" hidden="0" customWidth="1"/>
    <x:col min="9" max="9" width="19" hidden="0" customWidth="1"/>
    <x:col min="10" max="10" width="19" hidden="0" customWidth="1"/>
    <x:col min="11" max="11" width="22" hidden="0" customWidth="1"/>
  </x:cols>
  <x:sheetData>
    <x:row r="1">
      <x:c r="A1" s="5" t="str">
        <x:v>SONAR OPERATING SCENARIOS — 10 W ACTIVE TX STAGE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2" t="str">
        <x:v>Scenario calculations assume 10 W electrical power delivered to the transducer only while the transmitter is active. PRI values are illustrative design cases; final PRI must be based on mission/range requirements.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5">
      <x:c r="A5" s="28" t="str">
        <x:v>Scenario</x:v>
      </x:c>
      <x:c r="B5" s="28" t="str">
        <x:v>Pulse duration (ms)</x:v>
      </x:c>
      <x:c r="C5" s="28" t="str">
        <x:v>PRI (ms)</x:v>
      </x:c>
      <x:c r="D5" s="28" t="str">
        <x:v>Peak TX (W)</x:v>
      </x:c>
      <x:c r="E5" s="28" t="str">
        <x:v>Duty cycle</x:v>
      </x:c>
      <x:c r="F5" s="28" t="str">
        <x:v>Avg TX power (W)</x:v>
      </x:c>
      <x:c r="G5" s="28" t="str">
        <x:v>TX energy / ping (mJ)</x:v>
      </x:c>
      <x:c r="H5" s="28" t="str">
        <x:v>TX energy / 24 h (Wh)</x:v>
      </x:c>
      <x:c r="I5" s="28" t="str">
        <x:v>Electronics target (W)</x:v>
      </x:c>
      <x:c r="J5" s="28" t="str">
        <x:v>Total avg power (W)</x:v>
      </x:c>
      <x:c r="K5" s="28" t="str">
        <x:v>Total energy / 24 h (Wh)</x:v>
      </x:c>
    </x:row>
    <x:row r="6">
      <x:c r="A6" s="34" t="str">
        <x:v>Continuous transmit</x:v>
      </x:c>
      <x:c r="B6" s="45" t="n">
        <x:v>0</x:v>
      </x:c>
      <x:c r="C6" s="45" t="n">
        <x:v>0</x:v>
      </x:c>
      <x:c r="D6" s="45" t="n">
        <x:v>10</x:v>
      </x:c>
      <x:c r="E6" s="43" t="n">
        <x:f>IF(C6=0,1,B6/C6)</x:f>
        <x:v>1</x:v>
      </x:c>
      <x:c r="F6" s="47" t="n">
        <x:f>D6*E6</x:f>
        <x:v>10</x:v>
      </x:c>
      <x:c r="G6" s="47" t="n">
        <x:f>D6*B6</x:f>
        <x:v>0</x:v>
      </x:c>
      <x:c r="H6" s="47" t="n">
        <x:f>F6*24</x:f>
        <x:v>240</x:v>
      </x:c>
      <x:c r="I6" s="47" t="n">
        <x:v>1.5</x:v>
      </x:c>
      <x:c r="J6" s="47" t="n">
        <x:f>I6+F6</x:f>
        <x:v>11.5</x:v>
      </x:c>
      <x:c r="K6" s="47" t="n">
        <x:f>J6*24</x:f>
        <x:v>276</x:v>
      </x:c>
    </x:row>
    <x:row r="7">
      <x:c r="A7" s="34" t="str">
        <x:v>Short-range pulsed</x:v>
      </x:c>
      <x:c r="B7" s="45" t="n">
        <x:v>1</x:v>
      </x:c>
      <x:c r="C7" s="45" t="n">
        <x:v>20</x:v>
      </x:c>
      <x:c r="D7" s="45" t="n">
        <x:v>10</x:v>
      </x:c>
      <x:c r="E7" s="43" t="n">
        <x:f>IF(C7=0,1,B7/C7)</x:f>
        <x:v>0.05</x:v>
      </x:c>
      <x:c r="F7" s="47" t="n">
        <x:f>D7*E7</x:f>
        <x:v>0.5</x:v>
      </x:c>
      <x:c r="G7" s="47" t="n">
        <x:f>D7*B7</x:f>
        <x:v>10</x:v>
      </x:c>
      <x:c r="H7" s="47" t="n">
        <x:f>F7*24</x:f>
        <x:v>12</x:v>
      </x:c>
      <x:c r="I7" s="47" t="n">
        <x:v>1.5</x:v>
      </x:c>
      <x:c r="J7" s="47" t="n">
        <x:f>I7+F7</x:f>
        <x:v>2</x:v>
      </x:c>
      <x:c r="K7" s="47" t="n">
        <x:f>J7*24</x:f>
        <x:v>48</x:v>
      </x:c>
    </x:row>
    <x:row r="8">
      <x:c r="A8" s="34" t="str">
        <x:v>High-duty short-range</x:v>
      </x:c>
      <x:c r="B8" s="45" t="n">
        <x:v>1.55</x:v>
      </x:c>
      <x:c r="C8" s="45" t="n">
        <x:v>20</x:v>
      </x:c>
      <x:c r="D8" s="45" t="n">
        <x:v>10</x:v>
      </x:c>
      <x:c r="E8" s="43" t="n">
        <x:f>IF(C8=0,1,B8/C8)</x:f>
        <x:v>0.0775</x:v>
      </x:c>
      <x:c r="F8" s="47" t="n">
        <x:f>D8*E8</x:f>
        <x:v>0.775</x:v>
      </x:c>
      <x:c r="G8" s="47" t="n">
        <x:f>D8*B8</x:f>
        <x:v>15.5</x:v>
      </x:c>
      <x:c r="H8" s="47" t="n">
        <x:f>F8*24</x:f>
        <x:v>18.6</x:v>
      </x:c>
      <x:c r="I8" s="47" t="n">
        <x:v>1.5</x:v>
      </x:c>
      <x:c r="J8" s="47" t="n">
        <x:f>I8+F8</x:f>
        <x:v>2.275</x:v>
      </x:c>
      <x:c r="K8" s="47" t="n">
        <x:f>J8*24</x:f>
        <x:v>54.599999999999994</x:v>
      </x:c>
    </x:row>
    <x:row r="9">
      <x:c r="A9" s="34" t="str">
        <x:v>Medium-range pulsed</x:v>
      </x:c>
      <x:c r="B9" s="45" t="n">
        <x:v>4.5</x:v>
      </x:c>
      <x:c r="C9" s="45" t="n">
        <x:v>98</x:v>
      </x:c>
      <x:c r="D9" s="45" t="n">
        <x:v>10</x:v>
      </x:c>
      <x:c r="E9" s="43" t="n">
        <x:f>IF(C9=0,1,B9/C9)</x:f>
        <x:v>0.04591836734693878</x:v>
      </x:c>
      <x:c r="F9" s="47" t="n">
        <x:f>D9*E9</x:f>
        <x:v>0.45918367346938777</x:v>
      </x:c>
      <x:c r="G9" s="47" t="n">
        <x:f>D9*B9</x:f>
        <x:v>45</x:v>
      </x:c>
      <x:c r="H9" s="47" t="n">
        <x:f>F9*24</x:f>
        <x:v>11.020408163265307</x:v>
      </x:c>
      <x:c r="I9" s="47" t="n">
        <x:v>1.5</x:v>
      </x:c>
      <x:c r="J9" s="47" t="n">
        <x:f>I9+F9</x:f>
        <x:v>1.9591836734693877</x:v>
      </x:c>
      <x:c r="K9" s="47" t="n">
        <x:f>J9*24</x:f>
        <x:v>47.0204081632653</x:v>
      </x:c>
    </x:row>
    <x:row r="10">
      <x:c r="A10" s="34" t="str">
        <x:v>Nominal adaptive example</x:v>
      </x:c>
      <x:c r="B10" s="45" t="n">
        <x:v>5</x:v>
      </x:c>
      <x:c r="C10" s="45" t="n">
        <x:v>100</x:v>
      </x:c>
      <x:c r="D10" s="45" t="n">
        <x:v>10</x:v>
      </x:c>
      <x:c r="E10" s="43" t="n">
        <x:f>IF(C10=0,1,B10/C10)</x:f>
        <x:v>0.05</x:v>
      </x:c>
      <x:c r="F10" s="47" t="n">
        <x:f>D10*E10</x:f>
        <x:v>0.5</x:v>
      </x:c>
      <x:c r="G10" s="47" t="n">
        <x:f>D10*B10</x:f>
        <x:v>50</x:v>
      </x:c>
      <x:c r="H10" s="47" t="n">
        <x:f>F10*24</x:f>
        <x:v>12</x:v>
      </x:c>
      <x:c r="I10" s="47" t="n">
        <x:v>1.5</x:v>
      </x:c>
      <x:c r="J10" s="47" t="n">
        <x:f>I10+F10</x:f>
        <x:v>2</x:v>
      </x:c>
      <x:c r="K10" s="47" t="n">
        <x:f>J10*24</x:f>
        <x:v>48</x:v>
      </x:c>
    </x:row>
    <x:row r="11">
      <x:c r="A11" s="34" t="str">
        <x:v>Long/deep-range illustrative</x:v>
      </x:c>
      <x:c r="B11" s="45" t="n">
        <x:v>5</x:v>
      </x:c>
      <x:c r="C11" s="45" t="n">
        <x:v>326</x:v>
      </x:c>
      <x:c r="D11" s="45" t="n">
        <x:v>10</x:v>
      </x:c>
      <x:c r="E11" s="43" t="n">
        <x:f>IF(C11=0,1,B11/C11)</x:f>
        <x:v>0.015337423312883436</x:v>
      </x:c>
      <x:c r="F11" s="47" t="n">
        <x:f>D11*E11</x:f>
        <x:v>0.15337423312883436</x:v>
      </x:c>
      <x:c r="G11" s="47" t="n">
        <x:f>D11*B11</x:f>
        <x:v>50</x:v>
      </x:c>
      <x:c r="H11" s="47" t="n">
        <x:f>F11*24</x:f>
        <x:v>3.6809815950920246</x:v>
      </x:c>
      <x:c r="I11" s="47" t="n">
        <x:v>1.5</x:v>
      </x:c>
      <x:c r="J11" s="47" t="n">
        <x:f>I11+F11</x:f>
        <x:v>1.6533742331288344</x:v>
      </x:c>
      <x:c r="K11" s="47" t="n">
        <x:f>J11*24</x:f>
        <x:v>39.68098159509202</x:v>
      </x:c>
    </x:row>
    <x:row r="13">
      <x:c r="A13" s="19" t="str">
        <x:v>Interpretation</x:v>
      </x:c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</x:row>
    <x:row r="14">
      <x:c r="A14" s="12" t="str">
        <x:v>At 10 W active TX power, pulse duration affects energy per ping linearly, while PRI determines the average transmit contribution. A 5 ms pulse every 100 ms gives 0.50 W average TX power, 50 mJ per ping, and 12 Wh/day of TX energy. Adding the provisional 1.5 W electronics target gives ~2.0 W total average and ~48 Wh/day.</x:v>
      </x:c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</x:sheetData>
  <x:mergeCells>
    <x:mergeCell ref="A1:K1"/>
    <x:mergeCell ref="A2:K2"/>
    <x:mergeCell ref="A13:K13"/>
    <x:mergeCell ref="A14:K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9" hidden="0" customWidth="1"/>
    <x:col min="4" max="4" width="21" hidden="0" customWidth="1"/>
    <x:col min="5" max="5" width="22" hidden="0" customWidth="1"/>
    <x:col min="6" max="6" width="24" hidden="0" customWidth="1"/>
    <x:col min="7" max="7" width="20" hidden="0" customWidth="1"/>
    <x:col min="8" max="8" width="24" hidden="0" customWidth="1"/>
    <x:col min="9" max="9" width="52" hidden="0" customWidth="1"/>
    <x:col min="10" max="10" width="38" hidden="0" customWidth="1"/>
  </x:cols>
  <x:sheetData>
    <x:row r="1">
      <x:c r="A1" s="5" t="str">
        <x:v>FEASIBILITY / VIABILITY — EXISTING SONAR COMPARISON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2" t="str">
        <x:v>Power comparison is not perfectly apples-to-apples: published commercial figures are complete sonar/sonar-head power, while our 1.5 W figure is electronics-only and our 2.0 W / 11.5 W figures are project scenarios.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5">
      <x:c r="A5" s="28" t="str">
        <x:v>System</x:v>
      </x:c>
      <x:c r="B5" s="28" t="str">
        <x:v>Type / context</x:v>
      </x:c>
      <x:c r="C5" s="28" t="str">
        <x:v>Published / modeled power (W)</x:v>
      </x:c>
      <x:c r="D5" s="28" t="str">
        <x:v>Power basis</x:v>
      </x:c>
      <x:c r="E5" s="28" t="str">
        <x:v>2.0 W case as % of reference</x:v>
      </x:c>
      <x:c r="F5" s="28" t="str">
        <x:v>11.5 W continuous case as % of reference</x:v>
      </x:c>
      <x:c r="G5" s="28" t="str">
        <x:v>Reduction vs 2.0 W case</x:v>
      </x:c>
      <x:c r="H5" s="28" t="str">
        <x:v>Source type</x:v>
      </x:c>
      <x:c r="I5" s="28" t="str">
        <x:v>Source URL</x:v>
      </x:c>
      <x:c r="J5" s="28" t="str">
        <x:v>Notes</x:v>
      </x:c>
    </x:row>
    <x:row r="6">
      <x:c r="A6" s="34" t="str">
        <x:v>Our project — electronics target</x:v>
      </x:c>
      <x:c r="B6" s="34" t="str">
        <x:v>FPGA + DAC + analog conditioning</x:v>
      </x:c>
      <x:c r="C6" s="49" t="n">
        <x:v>1.5</x:v>
      </x:c>
      <x:c r="D6" s="34" t="str">
        <x:v>Design target</x:v>
      </x:c>
      <x:c r="E6" s="34"/>
      <x:c r="F6" s="34"/>
      <x:c r="G6" s="34"/>
      <x:c r="H6" s="34" t="str">
        <x:v>Our engineering target</x:v>
      </x:c>
      <x:c r="I6" s="34" t="str">
        <x:v>—</x:v>
      </x:c>
      <x:c r="J6" s="34" t="str">
        <x:v>Must be verified by Quartus + bench</x:v>
      </x:c>
    </x:row>
    <x:row r="7">
      <x:c r="A7" s="34" t="str">
        <x:v>Our project — nominal pulsed scenario</x:v>
      </x:c>
      <x:c r="B7" s="34" t="str">
        <x:v>1.5 W electronics + 10 W TX stage, 5 ms / 100 ms</x:v>
      </x:c>
      <x:c r="C7" s="49" t="n">
        <x:v>2</x:v>
      </x:c>
      <x:c r="D7" s="34" t="str">
        <x:v>Calculated average</x:v>
      </x:c>
      <x:c r="E7" s="34"/>
      <x:c r="F7" s="34"/>
      <x:c r="G7" s="34"/>
      <x:c r="H7" s="34" t="str">
        <x:v>Calculated</x:v>
      </x:c>
      <x:c r="I7" s="34" t="str">
        <x:v>—</x:v>
      </x:c>
      <x:c r="J7" s="34" t="str">
        <x:v>10 W is active only during the pulse</x:v>
      </x:c>
    </x:row>
    <x:row r="8">
      <x:c r="A8" s="34" t="str">
        <x:v>Our project — continuous 10 W TX scenario</x:v>
      </x:c>
      <x:c r="B8" s="34" t="str">
        <x:v>1.5 W electronics + 10 W TX continuously</x:v>
      </x:c>
      <x:c r="C8" s="49" t="n">
        <x:v>11.5</x:v>
      </x:c>
      <x:c r="D8" s="34" t="str">
        <x:v>Calculated average</x:v>
      </x:c>
      <x:c r="E8" s="45"/>
      <x:c r="F8" s="45"/>
      <x:c r="G8" s="51"/>
      <x:c r="H8" s="34" t="str">
        <x:v>Calculated</x:v>
      </x:c>
      <x:c r="I8" s="34" t="str">
        <x:v>—</x:v>
      </x:c>
      <x:c r="J8" s="34" t="str">
        <x:v>Worst-case conceptual continuous case</x:v>
      </x:c>
    </x:row>
    <x:row r="9">
      <x:c r="A9" s="34" t="str">
        <x:v>Sonardyne Solstice</x:v>
      </x:c>
      <x:c r="B9" s="34" t="str">
        <x:v>Multi-aperture side-scan sonar</x:v>
      </x:c>
      <x:c r="C9" s="49" t="n">
        <x:v>18</x:v>
      </x:c>
      <x:c r="D9" s="34" t="str">
        <x:v>Array &amp; PPV</x:v>
      </x:c>
      <x:c r="E9" s="45" t="n">
        <x:f>2/C9</x:f>
        <x:v>0.1111111111111111</x:v>
      </x:c>
      <x:c r="F9" s="45" t="n">
        <x:f>11.5/C9</x:f>
        <x:v>0.6388888888888888</x:v>
      </x:c>
      <x:c r="G9" s="51" t="n">
        <x:f>1-E9</x:f>
        <x:v>0.8888888888888888</x:v>
      </x:c>
      <x:c r="H9" s="34" t="str">
        <x:v>Manufacturer</x:v>
      </x:c>
      <x:c r="I9" s="34" t="str">
        <x:v>https://www.sonardyne.com/product/solstice/</x:v>
      </x:c>
      <x:c r="J9" s="34" t="str">
        <x:v>Published 18 W</x:v>
      </x:c>
    </x:row>
    <x:row r="10">
      <x:c r="A10" s="34" t="str">
        <x:v>R2Sonic Sonic 2020-V</x:v>
      </x:c>
      <x:c r="B10" s="34" t="str">
        <x:v>Multibeam echosounder</x:v>
      </x:c>
      <x:c r="C10" s="49" t="n">
        <x:v>20</x:v>
      </x:c>
      <x:c r="D10" s="34" t="str">
        <x:v>Sonar system</x:v>
      </x:c>
      <x:c r="E10" s="45" t="n">
        <x:f>2/C10</x:f>
        <x:v>0.1</x:v>
      </x:c>
      <x:c r="F10" s="45" t="n">
        <x:f>11.5/C10</x:f>
        <x:v>0.575</x:v>
      </x:c>
      <x:c r="G10" s="51" t="n">
        <x:f>1-E10</x:f>
        <x:v>0.9</x:v>
      </x:c>
      <x:c r="H10" s="34" t="str">
        <x:v>Manufacturer / product listing</x:v>
      </x:c>
      <x:c r="I10" s="34" t="str">
        <x:v>https://www.nauticexpo.com/prod/r2-sonic-llc/product-40112-608373.html</x:v>
      </x:c>
      <x:c r="J10" s="34" t="str">
        <x:v>Published 20 W</x:v>
      </x:c>
    </x:row>
    <x:row r="11">
      <x:c r="A11" s="34" t="str">
        <x:v>R2Sonic Sonic 2022</x:v>
      </x:c>
      <x:c r="B11" s="34" t="str">
        <x:v>Multibeam echosounder</x:v>
      </x:c>
      <x:c r="C11" s="49" t="n">
        <x:v>35</x:v>
      </x:c>
      <x:c r="D11" s="34" t="str">
        <x:v>Sonar head</x:v>
      </x:c>
      <x:c r="E11" s="45" t="n">
        <x:f>2/C11</x:f>
        <x:v>0.05714285714285714</x:v>
      </x:c>
      <x:c r="F11" s="45" t="n">
        <x:f>11.5/C11</x:f>
        <x:v>0.32857142857142857</x:v>
      </x:c>
      <x:c r="G11" s="51" t="n">
        <x:f>1-E11</x:f>
        <x:v>0.9428571428571428</x:v>
      </x:c>
      <x:c r="H11" s="34" t="str">
        <x:v>Manufacturer datasheet</x:v>
      </x:c>
      <x:c r="I11" s="34" t="str">
        <x:v>https://d1v73oekvv1j3v.cloudfront.net/downloads/R2SONIC-2022_2023-01-25-133110_twfh.pdf</x:v>
      </x:c>
      <x:c r="J11" s="34" t="str">
        <x:v>Published 35 W</x:v>
      </x:c>
    </x:row>
    <x:row r="12">
      <x:c r="A12" s="34" t="str">
        <x:v>R2Sonic Sonic 2024</x:v>
      </x:c>
      <x:c r="B12" s="34" t="str">
        <x:v>Multibeam echosounder</x:v>
      </x:c>
      <x:c r="C12" s="49" t="n">
        <x:v>50</x:v>
      </x:c>
      <x:c r="D12" s="34" t="str">
        <x:v>Sonar head</x:v>
      </x:c>
      <x:c r="E12" s="45" t="n">
        <x:f>2/C12</x:f>
        <x:v>0.04</x:v>
      </x:c>
      <x:c r="F12" s="45" t="n">
        <x:f>11.5/C12</x:f>
        <x:v>0.23</x:v>
      </x:c>
      <x:c r="G12" s="51" t="n">
        <x:f>1-E12</x:f>
        <x:v>0.96</x:v>
      </x:c>
      <x:c r="H12" s="34" t="str">
        <x:v>Manufacturer datasheet</x:v>
      </x:c>
      <x:c r="I12" s="34" t="str">
        <x:v>https://www.str-subsea.com/wp-content/uploads/2025/03/R2SONIC-2024_2023-01-25-133111_rgdz.pdf</x:v>
      </x:c>
      <x:c r="J12" s="34" t="str">
        <x:v>Published 50 W</x:v>
      </x:c>
    </x:row>
    <x:row r="13">
      <x:c r="A13" s="34" t="str">
        <x:v>R2Sonic Sonic 2026-V</x:v>
      </x:c>
      <x:c r="B13" s="34" t="str">
        <x:v>Multibeam echosounder</x:v>
      </x:c>
      <x:c r="C13" s="49" t="n">
        <x:v>100</x:v>
      </x:c>
      <x:c r="D13" s="34" t="str">
        <x:v>Sonar head</x:v>
      </x:c>
      <x:c r="E13" s="45" t="n">
        <x:f>2/C13</x:f>
        <x:v>0.02</x:v>
      </x:c>
      <x:c r="F13" s="45" t="n">
        <x:f>11.5/C13</x:f>
        <x:v>0.115</x:v>
      </x:c>
      <x:c r="G13" s="51" t="n">
        <x:f>1-E13</x:f>
        <x:v>0.98</x:v>
      </x:c>
      <x:c r="H13" s="34" t="str">
        <x:v>Product listing / datasheet</x:v>
      </x:c>
      <x:c r="I13" s="34" t="str">
        <x:v>https://d1v73oekvv1j3v.cloudfront.net/downloads/R2SONIC-2026_2023-01-25-133112_xkhf.pdf</x:v>
      </x:c>
      <x:c r="J13" s="34" t="str">
        <x:v>Published 100 W</x:v>
      </x:c>
    </x:row>
    <x:row r="15">
      <x:c r="A15" s="19" t="str">
        <x:v>Vehicle context (not directly comparable to sonar power)</x:v>
      </x:c>
      <x:c r="B15" s="19"/>
      <x:c r="C15" s="19"/>
      <x:c r="D15" s="19"/>
      <x:c r="E15" s="19"/>
      <x:c r="F15" s="19"/>
      <x:c r="G15" s="19"/>
      <x:c r="H15" s="19"/>
      <x:c r="I15" s="19"/>
      <x:c r="J15" s="19"/>
    </x:row>
    <x:row r="16">
      <x:c r="A16" s="28" t="str">
        <x:v>Vehicle</x:v>
      </x:c>
      <x:c r="B16" s="28" t="str">
        <x:v>Energy</x:v>
      </x:c>
      <x:c r="C16" s="28" t="str">
        <x:v>Endurance</x:v>
      </x:c>
      <x:c r="D16" s="28" t="str">
        <x:v>Implied average vehicle power</x:v>
      </x:c>
      <x:c r="E16" s="28" t="str">
        <x:v>Calculation</x:v>
      </x:c>
      <x:c r="F16" s="28" t="str">
        <x:v>Source</x:v>
      </x:c>
    </x:row>
    <x:row r="17">
      <x:c r="A17" s="34" t="str">
        <x:v>Bluefin-21</x:v>
      </x:c>
      <x:c r="B17" s="49" t="n">
        <x:v>13.5</x:v>
      </x:c>
      <x:c r="C17" s="49" t="n">
        <x:v>25</x:v>
      </x:c>
      <x:c r="D17" s="49" t="n">
        <x:f>B17/C17</x:f>
        <x:v>0.54</x:v>
      </x:c>
      <x:c r="E17" s="34" t="n">
        <x:f>13.5/25</x:f>
        <x:v>0.54</x:v>
      </x:c>
      <x:c r="F17" s="34" t="str">
        <x:v>https://gdmissionsystems.com/products/underwater-vehicles/bluefin-21-autonomous-underwater-vehicle</x:v>
      </x:c>
    </x:row>
    <x:row r="18">
      <x:c r="A18" s="34" t="str">
        <x:v>Bluefin-21</x:v>
      </x:c>
      <x:c r="B18" s="34" t="str">
        <x:v>13.5 kWh</x:v>
      </x:c>
      <x:c r="C18" s="34" t="str">
        <x:v>25 h</x:v>
      </x:c>
      <x:c r="D18" s="34"/>
      <x:c r="E18" s="34" t="str">
        <x:v>≈540 W</x:v>
      </x:c>
      <x:c r="F18" s="34" t="str">
        <x:v>Manufacturer published 13.5 kWh / 25 h</x:v>
      </x:c>
    </x:row>
    <x:row r="20">
      <x:c r="A20" s="19" t="str">
        <x:v>Feasibility takeaway</x:v>
      </x:c>
      <x:c r="B20" s="19"/>
      <x:c r="C20" s="19"/>
      <x:c r="D20" s="19"/>
      <x:c r="E20" s="19"/>
      <x:c r="F20" s="19"/>
      <x:c r="G20" s="19"/>
      <x:c r="H20" s="19"/>
      <x:c r="I20" s="19"/>
      <x:c r="J20" s="19"/>
    </x:row>
    <x:row r="21">
      <x:c r="A21" s="12" t="str">
        <x:v>Using the provisional 1.5 W electronics target, a 10 W transducer-drive stage operated at 5 ms every 100 ms gives about 2.0 W average module power. That is below the published 18 W Solstice, 20 W Sonic 2020-V, 35 W Sonic 2022, 50 W Sonic 2024 and 100 W Sonic 2026-V power figures. The comparison is directional rather than apples-to-apples because the commercial values are complete sonar/sonar-head specifications, while our 1.5 W figure is a design target and the 2.0 W figure is a modeled operating case. Final project claims must use measured system input power.</x:v>
      </x:c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</x:sheetData>
  <x:mergeCells>
    <x:mergeCell ref="A1:J1"/>
    <x:mergeCell ref="A2:J2"/>
    <x:mergeCell ref="A15:J15"/>
    <x:mergeCell ref="A20:J20"/>
    <x:mergeCell ref="A21:J23"/>
  </x:mergeCells>
  <x:conditionalFormatting sqref="G8:G1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9ce7b85c4c84438b"/>
</x:worksheet>
</file>